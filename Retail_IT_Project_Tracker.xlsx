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kaysenacfalle/Downloads/retail_it_project/"/>
    </mc:Choice>
  </mc:AlternateContent>
  <xr:revisionPtr revIDLastSave="0" documentId="13_ncr:1_{F04F7578-4FAF-D944-B3C0-511938DB3CE3}" xr6:coauthVersionLast="47" xr6:coauthVersionMax="47" xr10:uidLastSave="{00000000-0000-0000-0000-000000000000}"/>
  <bookViews>
    <workbookView xWindow="4120" yWindow="760" windowWidth="34280" windowHeight="22520" xr2:uid="{00000000-000D-0000-FFFF-FFFF00000000}"/>
  </bookViews>
  <sheets>
    <sheet name="Task Tracker" sheetId="1" r:id="rId1"/>
    <sheet name="Risk Register" sheetId="2" r:id="rId2"/>
    <sheet name="Milestones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4" l="1"/>
  <c r="B15" i="4"/>
  <c r="B14" i="4"/>
  <c r="B13" i="4"/>
  <c r="B12" i="4"/>
  <c r="B8" i="4"/>
  <c r="E7" i="4"/>
  <c r="B7" i="4"/>
  <c r="E6" i="4"/>
  <c r="E5" i="4"/>
  <c r="B5" i="4"/>
  <c r="E4" i="4"/>
  <c r="B4" i="4"/>
  <c r="B6" i="4" s="1"/>
  <c r="I7" i="2"/>
  <c r="I6" i="2"/>
  <c r="I5" i="2"/>
  <c r="I4" i="2"/>
  <c r="I3" i="2"/>
  <c r="I2" i="2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<sst xmlns="http://schemas.openxmlformats.org/spreadsheetml/2006/main" count="214" uniqueCount="117">
  <si>
    <t>ID</t>
  </si>
  <si>
    <t>Workstream</t>
  </si>
  <si>
    <t>Task</t>
  </si>
  <si>
    <t>Owner</t>
  </si>
  <si>
    <t>Start</t>
  </si>
  <si>
    <t>Due</t>
  </si>
  <si>
    <t>Status</t>
  </si>
  <si>
    <t>Priority</t>
  </si>
  <si>
    <t>Days</t>
  </si>
  <si>
    <t>Overdue?</t>
  </si>
  <si>
    <t>T-01</t>
  </si>
  <si>
    <t>Discovery</t>
  </si>
  <si>
    <t>Confirm stakeholders and objectives</t>
  </si>
  <si>
    <t>PM</t>
  </si>
  <si>
    <t>Done</t>
  </si>
  <si>
    <t>Medium</t>
  </si>
  <si>
    <t>T-02</t>
  </si>
  <si>
    <t>Document current inventory process</t>
  </si>
  <si>
    <t>Business Analyst</t>
  </si>
  <si>
    <t>T-03</t>
  </si>
  <si>
    <t>Approve scope and success criteria</t>
  </si>
  <si>
    <t>Sponsor</t>
  </si>
  <si>
    <t>High</t>
  </si>
  <si>
    <t>T-04</t>
  </si>
  <si>
    <t>Requirements</t>
  </si>
  <si>
    <t>Interview store and warehouse users</t>
  </si>
  <si>
    <t>T-05</t>
  </si>
  <si>
    <t>Define inventory data fields</t>
  </si>
  <si>
    <t>Analyst</t>
  </si>
  <si>
    <t>T-06</t>
  </si>
  <si>
    <t>Review e-commerce integration needs</t>
  </si>
  <si>
    <t>IT Lead</t>
  </si>
  <si>
    <t>In Progress</t>
  </si>
  <si>
    <t>T-07</t>
  </si>
  <si>
    <t>Sign off requirements</t>
  </si>
  <si>
    <t>Not Started</t>
  </si>
  <si>
    <t>T-08</t>
  </si>
  <si>
    <t>Configuration</t>
  </si>
  <si>
    <t>Configure inventory categories</t>
  </si>
  <si>
    <t>T-09</t>
  </si>
  <si>
    <t>Set up stock thresholds and alerts</t>
  </si>
  <si>
    <t>T-10</t>
  </si>
  <si>
    <t>Create sample data migration map</t>
  </si>
  <si>
    <t>T-11</t>
  </si>
  <si>
    <t>Testing</t>
  </si>
  <si>
    <t>Draft user acceptance test plan</t>
  </si>
  <si>
    <t>QA Lead</t>
  </si>
  <si>
    <t>T-12</t>
  </si>
  <si>
    <t>Test receiving and stock adjustment</t>
  </si>
  <si>
    <t>T-13</t>
  </si>
  <si>
    <t>Test order and inventory sync</t>
  </si>
  <si>
    <t>T-14</t>
  </si>
  <si>
    <t>Resolve priority defects</t>
  </si>
  <si>
    <t>T-15</t>
  </si>
  <si>
    <t>Rollout</t>
  </si>
  <si>
    <t>Prepare staff training guide</t>
  </si>
  <si>
    <t>T-16</t>
  </si>
  <si>
    <t>Run pilot in one store</t>
  </si>
  <si>
    <t>Store Manager</t>
  </si>
  <si>
    <t>T-17</t>
  </si>
  <si>
    <t>Go/no-go readiness review</t>
  </si>
  <si>
    <t>T-18</t>
  </si>
  <si>
    <t>Roll out and monitor stabilization</t>
  </si>
  <si>
    <t>Risk</t>
  </si>
  <si>
    <t>Likelihood (1-5)</t>
  </si>
  <si>
    <t>Impact (1-5)</t>
  </si>
  <si>
    <t>Severity</t>
  </si>
  <si>
    <t>Mitigation / Response</t>
  </si>
  <si>
    <t>Score</t>
  </si>
  <si>
    <t>R-01</t>
  </si>
  <si>
    <t>Inventory data inconsistent across locations</t>
  </si>
  <si>
    <t>Validate SKU mapping; reconcile pilot sample</t>
  </si>
  <si>
    <t>Open</t>
  </si>
  <si>
    <t>R-02</t>
  </si>
  <si>
    <t>E-commerce inventory sync delays</t>
  </si>
  <si>
    <t>Test integration early; define rollback</t>
  </si>
  <si>
    <t>R-03</t>
  </si>
  <si>
    <t>Store staff adoption lower than expected</t>
  </si>
  <si>
    <t>Training sessions and quick reference guide</t>
  </si>
  <si>
    <t>R-04</t>
  </si>
  <si>
    <t>Scope changes threaten schedule</t>
  </si>
  <si>
    <t>Formal change log and sponsor approval</t>
  </si>
  <si>
    <t>R-05</t>
  </si>
  <si>
    <t>Cutover causes temporary stock inaccuracies</t>
  </si>
  <si>
    <t>Backup export; staged pilot and rollback</t>
  </si>
  <si>
    <t>Mitigating</t>
  </si>
  <si>
    <t>R-06</t>
  </si>
  <si>
    <t>Key stakeholder unavailable for signoff</t>
  </si>
  <si>
    <t>Book review sessions in advance</t>
  </si>
  <si>
    <t>Closed</t>
  </si>
  <si>
    <t>Milestone</t>
  </si>
  <si>
    <t>Target Date</t>
  </si>
  <si>
    <t>Acceptance Criteria</t>
  </si>
  <si>
    <t>Charter approved</t>
  </si>
  <si>
    <t>Sponsor approves scope and objectives</t>
  </si>
  <si>
    <t>Requirements signed off</t>
  </si>
  <si>
    <t>Requirements and data fields approved</t>
  </si>
  <si>
    <t>Configuration complete</t>
  </si>
  <si>
    <t>Core inventory flows configured</t>
  </si>
  <si>
    <t>User testing complete</t>
  </si>
  <si>
    <t>Critical test cases pass</t>
  </si>
  <si>
    <t>Pilot approved</t>
  </si>
  <si>
    <t>Go/no-go decision recorded</t>
  </si>
  <si>
    <t>Rollout complete</t>
  </si>
  <si>
    <t>Staff trained; monitoring established</t>
  </si>
  <si>
    <t>RETAIL INVENTORY SYSTEM ROLLOUT | PROJECT CONTROL CENTER</t>
  </si>
  <si>
    <t>KPI</t>
  </si>
  <si>
    <t>Value</t>
  </si>
  <si>
    <t>Count</t>
  </si>
  <si>
    <t>Total Tasks</t>
  </si>
  <si>
    <t>Completed Tasks</t>
  </si>
  <si>
    <t>Completion Rate</t>
  </si>
  <si>
    <t>Blocked Tasks</t>
  </si>
  <si>
    <t>Blocked</t>
  </si>
  <si>
    <t>Open Risks</t>
  </si>
  <si>
    <t>Tasks</t>
  </si>
  <si>
    <t>SIMULATED CASE STUDY — edit task statuses and risk records to update metrics.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</si>
</sst>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5304A"/>
      </patternFill>
    </fill>
    <fill>
      <patternFill patternType="solid">
        <fgColor rgb="FF147D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9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Task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Dashboard!$D$4:$D$7</c:f>
              <c:strCache>
                <c:ptCount val="4"/>
                <c:pt idx="0">
                  <c:v>Done</c:v>
                </c:pt>
                <c:pt idx="1">
                  <c:v>In Progress</c:v>
                </c:pt>
                <c:pt idx="2">
                  <c:v>Not Started</c:v>
                </c:pt>
                <c:pt idx="3">
                  <c:v>Blocked</c:v>
                </c:pt>
              </c:strCache>
            </c:strRef>
          </c:cat>
          <c:val>
            <c:numRef>
              <c:f>Dashboard!$E$4:$E$7</c:f>
              <c:numCache>
                <c:formatCode>General</c:formatCode>
                <c:ptCount val="4"/>
                <c:pt idx="0">
                  <c:v>5</c:v>
                </c:pt>
                <c:pt idx="1">
                  <c:v>2</c:v>
                </c:pt>
                <c:pt idx="2">
                  <c:v>11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D-A140-B5FF-C04B9B66A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11" customWidth="1"/>
    <col min="2" max="2" width="18" customWidth="1"/>
    <col min="3" max="3" width="46" customWidth="1"/>
    <col min="4" max="4" width="20" customWidth="1"/>
    <col min="5" max="6" width="18" customWidth="1"/>
    <col min="7" max="7" width="17" customWidth="1"/>
    <col min="8" max="8" width="13" customWidth="1"/>
    <col min="9" max="9" width="12" customWidth="1"/>
    <col min="10" max="10" width="14" customWidth="1"/>
  </cols>
  <sheetData>
    <row r="1" spans="1:10" ht="32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s="1">
        <v>46328</v>
      </c>
      <c r="F2" s="1">
        <v>46331</v>
      </c>
      <c r="G2" t="s">
        <v>14</v>
      </c>
      <c r="H2" t="s">
        <v>15</v>
      </c>
      <c r="I2">
        <f t="shared" ref="I2:I19" si="0">F2-E2</f>
        <v>3</v>
      </c>
      <c r="J2" t="str">
        <f t="shared" ref="J2:J19" ca="1" si="1">IF(AND(G2&lt;&gt;"Done",F2&lt;TODAY()),"Overdue","")</f>
        <v/>
      </c>
    </row>
    <row r="3" spans="1:10">
      <c r="A3" t="s">
        <v>16</v>
      </c>
      <c r="B3" t="s">
        <v>11</v>
      </c>
      <c r="C3" t="s">
        <v>17</v>
      </c>
      <c r="D3" t="s">
        <v>18</v>
      </c>
      <c r="E3" s="1">
        <v>46329</v>
      </c>
      <c r="F3" s="1">
        <v>46333</v>
      </c>
      <c r="G3" t="s">
        <v>14</v>
      </c>
      <c r="H3" t="s">
        <v>15</v>
      </c>
      <c r="I3">
        <f t="shared" si="0"/>
        <v>4</v>
      </c>
      <c r="J3" t="str">
        <f t="shared" ca="1" si="1"/>
        <v/>
      </c>
    </row>
    <row r="4" spans="1:10">
      <c r="A4" t="s">
        <v>19</v>
      </c>
      <c r="B4" t="s">
        <v>11</v>
      </c>
      <c r="C4" t="s">
        <v>20</v>
      </c>
      <c r="D4" t="s">
        <v>21</v>
      </c>
      <c r="E4" s="1">
        <v>46333</v>
      </c>
      <c r="F4" s="1">
        <v>46335</v>
      </c>
      <c r="G4" t="s">
        <v>14</v>
      </c>
      <c r="H4" t="s">
        <v>22</v>
      </c>
      <c r="I4">
        <f t="shared" si="0"/>
        <v>2</v>
      </c>
      <c r="J4" t="str">
        <f t="shared" ca="1" si="1"/>
        <v/>
      </c>
    </row>
    <row r="5" spans="1:10">
      <c r="A5" t="s">
        <v>23</v>
      </c>
      <c r="B5" t="s">
        <v>24</v>
      </c>
      <c r="C5" t="s">
        <v>25</v>
      </c>
      <c r="D5" t="s">
        <v>13</v>
      </c>
      <c r="E5" s="1">
        <v>46335</v>
      </c>
      <c r="F5" s="1">
        <v>46339</v>
      </c>
      <c r="G5" t="s">
        <v>14</v>
      </c>
      <c r="H5" t="s">
        <v>15</v>
      </c>
      <c r="I5">
        <f t="shared" si="0"/>
        <v>4</v>
      </c>
      <c r="J5" t="str">
        <f t="shared" ca="1" si="1"/>
        <v/>
      </c>
    </row>
    <row r="6" spans="1:10">
      <c r="A6" t="s">
        <v>26</v>
      </c>
      <c r="B6" t="s">
        <v>24</v>
      </c>
      <c r="C6" t="s">
        <v>27</v>
      </c>
      <c r="D6" t="s">
        <v>28</v>
      </c>
      <c r="E6" s="1">
        <v>46337</v>
      </c>
      <c r="F6" s="1">
        <v>46342</v>
      </c>
      <c r="G6" t="s">
        <v>14</v>
      </c>
      <c r="H6" t="s">
        <v>22</v>
      </c>
      <c r="I6">
        <f t="shared" si="0"/>
        <v>5</v>
      </c>
      <c r="J6" t="str">
        <f t="shared" ca="1" si="1"/>
        <v/>
      </c>
    </row>
    <row r="7" spans="1:10">
      <c r="A7" t="s">
        <v>29</v>
      </c>
      <c r="B7" t="s">
        <v>24</v>
      </c>
      <c r="C7" t="s">
        <v>30</v>
      </c>
      <c r="D7" t="s">
        <v>31</v>
      </c>
      <c r="E7" s="1">
        <v>46340</v>
      </c>
      <c r="F7" s="1">
        <v>46345</v>
      </c>
      <c r="G7" t="s">
        <v>32</v>
      </c>
      <c r="H7" t="s">
        <v>22</v>
      </c>
      <c r="I7">
        <f t="shared" si="0"/>
        <v>5</v>
      </c>
      <c r="J7" t="str">
        <f t="shared" ca="1" si="1"/>
        <v/>
      </c>
    </row>
    <row r="8" spans="1:10">
      <c r="A8" t="s">
        <v>33</v>
      </c>
      <c r="B8" t="s">
        <v>24</v>
      </c>
      <c r="C8" t="s">
        <v>34</v>
      </c>
      <c r="D8" t="s">
        <v>21</v>
      </c>
      <c r="E8" s="1">
        <v>46345</v>
      </c>
      <c r="F8" s="1">
        <v>46348</v>
      </c>
      <c r="G8" t="s">
        <v>35</v>
      </c>
      <c r="H8" t="s">
        <v>22</v>
      </c>
      <c r="I8">
        <f t="shared" si="0"/>
        <v>3</v>
      </c>
      <c r="J8" t="str">
        <f t="shared" ca="1" si="1"/>
        <v/>
      </c>
    </row>
    <row r="9" spans="1:10">
      <c r="A9" t="s">
        <v>36</v>
      </c>
      <c r="B9" t="s">
        <v>37</v>
      </c>
      <c r="C9" t="s">
        <v>38</v>
      </c>
      <c r="D9" t="s">
        <v>31</v>
      </c>
      <c r="E9" s="1">
        <v>46347</v>
      </c>
      <c r="F9" s="1">
        <v>46354</v>
      </c>
      <c r="G9" t="s">
        <v>32</v>
      </c>
      <c r="H9" t="s">
        <v>15</v>
      </c>
      <c r="I9">
        <f t="shared" si="0"/>
        <v>7</v>
      </c>
      <c r="J9" t="str">
        <f t="shared" ca="1" si="1"/>
        <v/>
      </c>
    </row>
    <row r="10" spans="1:10">
      <c r="A10" t="s">
        <v>39</v>
      </c>
      <c r="B10" t="s">
        <v>37</v>
      </c>
      <c r="C10" t="s">
        <v>40</v>
      </c>
      <c r="D10" t="s">
        <v>31</v>
      </c>
      <c r="E10" s="1">
        <v>46351</v>
      </c>
      <c r="F10" s="1">
        <v>46357</v>
      </c>
      <c r="G10" t="s">
        <v>35</v>
      </c>
      <c r="H10" t="s">
        <v>15</v>
      </c>
      <c r="I10">
        <f t="shared" si="0"/>
        <v>6</v>
      </c>
      <c r="J10" t="str">
        <f t="shared" ca="1" si="1"/>
        <v/>
      </c>
    </row>
    <row r="11" spans="1:10">
      <c r="A11" t="s">
        <v>41</v>
      </c>
      <c r="B11" t="s">
        <v>37</v>
      </c>
      <c r="C11" t="s">
        <v>42</v>
      </c>
      <c r="D11" t="s">
        <v>28</v>
      </c>
      <c r="E11" s="1">
        <v>46353</v>
      </c>
      <c r="F11" s="1">
        <v>46359</v>
      </c>
      <c r="G11" t="s">
        <v>35</v>
      </c>
      <c r="H11" t="s">
        <v>22</v>
      </c>
      <c r="I11">
        <f t="shared" si="0"/>
        <v>6</v>
      </c>
      <c r="J11" t="str">
        <f t="shared" ca="1" si="1"/>
        <v/>
      </c>
    </row>
    <row r="12" spans="1:10">
      <c r="A12" t="s">
        <v>43</v>
      </c>
      <c r="B12" t="s">
        <v>44</v>
      </c>
      <c r="C12" t="s">
        <v>45</v>
      </c>
      <c r="D12" t="s">
        <v>46</v>
      </c>
      <c r="E12" s="1">
        <v>46357</v>
      </c>
      <c r="F12" s="1">
        <v>46361</v>
      </c>
      <c r="G12" t="s">
        <v>35</v>
      </c>
      <c r="H12" t="s">
        <v>22</v>
      </c>
      <c r="I12">
        <f t="shared" si="0"/>
        <v>4</v>
      </c>
      <c r="J12" t="str">
        <f t="shared" ca="1" si="1"/>
        <v/>
      </c>
    </row>
    <row r="13" spans="1:10">
      <c r="A13" t="s">
        <v>47</v>
      </c>
      <c r="B13" t="s">
        <v>44</v>
      </c>
      <c r="C13" t="s">
        <v>48</v>
      </c>
      <c r="D13" t="s">
        <v>46</v>
      </c>
      <c r="E13" s="1">
        <v>46361</v>
      </c>
      <c r="F13" s="1">
        <v>46367</v>
      </c>
      <c r="G13" t="s">
        <v>35</v>
      </c>
      <c r="H13" t="s">
        <v>22</v>
      </c>
      <c r="I13">
        <f t="shared" si="0"/>
        <v>6</v>
      </c>
      <c r="J13" t="str">
        <f t="shared" ca="1" si="1"/>
        <v/>
      </c>
    </row>
    <row r="14" spans="1:10">
      <c r="A14" t="s">
        <v>49</v>
      </c>
      <c r="B14" t="s">
        <v>44</v>
      </c>
      <c r="C14" t="s">
        <v>50</v>
      </c>
      <c r="D14" t="s">
        <v>46</v>
      </c>
      <c r="E14" s="1">
        <v>46365</v>
      </c>
      <c r="F14" s="1">
        <v>46371</v>
      </c>
      <c r="G14" t="s">
        <v>35</v>
      </c>
      <c r="H14" t="s">
        <v>22</v>
      </c>
      <c r="I14">
        <f t="shared" si="0"/>
        <v>6</v>
      </c>
      <c r="J14" t="str">
        <f t="shared" ca="1" si="1"/>
        <v/>
      </c>
    </row>
    <row r="15" spans="1:10">
      <c r="A15" t="s">
        <v>51</v>
      </c>
      <c r="B15" t="s">
        <v>44</v>
      </c>
      <c r="C15" t="s">
        <v>52</v>
      </c>
      <c r="D15" t="s">
        <v>31</v>
      </c>
      <c r="E15" s="1">
        <v>46370</v>
      </c>
      <c r="F15" s="1">
        <v>46376</v>
      </c>
      <c r="G15" t="s">
        <v>35</v>
      </c>
      <c r="H15" t="s">
        <v>22</v>
      </c>
      <c r="I15">
        <f t="shared" si="0"/>
        <v>6</v>
      </c>
      <c r="J15" t="str">
        <f t="shared" ca="1" si="1"/>
        <v/>
      </c>
    </row>
    <row r="16" spans="1:10">
      <c r="A16" t="s">
        <v>53</v>
      </c>
      <c r="B16" t="s">
        <v>54</v>
      </c>
      <c r="C16" t="s">
        <v>55</v>
      </c>
      <c r="D16" t="s">
        <v>13</v>
      </c>
      <c r="E16" s="1">
        <v>46371</v>
      </c>
      <c r="F16" s="1">
        <v>46377</v>
      </c>
      <c r="G16" t="s">
        <v>35</v>
      </c>
      <c r="H16" t="s">
        <v>15</v>
      </c>
      <c r="I16">
        <f t="shared" si="0"/>
        <v>6</v>
      </c>
      <c r="J16" t="str">
        <f t="shared" ca="1" si="1"/>
        <v/>
      </c>
    </row>
    <row r="17" spans="1:10">
      <c r="A17" t="s">
        <v>56</v>
      </c>
      <c r="B17" t="s">
        <v>54</v>
      </c>
      <c r="C17" t="s">
        <v>57</v>
      </c>
      <c r="D17" t="s">
        <v>58</v>
      </c>
      <c r="E17" s="1">
        <v>46377</v>
      </c>
      <c r="F17" s="1">
        <v>46382</v>
      </c>
      <c r="G17" t="s">
        <v>35</v>
      </c>
      <c r="H17" t="s">
        <v>22</v>
      </c>
      <c r="I17">
        <f t="shared" si="0"/>
        <v>5</v>
      </c>
      <c r="J17" t="str">
        <f t="shared" ca="1" si="1"/>
        <v/>
      </c>
    </row>
    <row r="18" spans="1:10">
      <c r="A18" t="s">
        <v>59</v>
      </c>
      <c r="B18" t="s">
        <v>54</v>
      </c>
      <c r="C18" t="s">
        <v>60</v>
      </c>
      <c r="D18" t="s">
        <v>21</v>
      </c>
      <c r="E18" s="1">
        <v>46382</v>
      </c>
      <c r="F18" s="1">
        <v>46384</v>
      </c>
      <c r="G18" t="s">
        <v>35</v>
      </c>
      <c r="H18" t="s">
        <v>22</v>
      </c>
      <c r="I18">
        <f t="shared" si="0"/>
        <v>2</v>
      </c>
      <c r="J18" t="str">
        <f t="shared" ca="1" si="1"/>
        <v/>
      </c>
    </row>
    <row r="19" spans="1:10">
      <c r="A19" t="s">
        <v>61</v>
      </c>
      <c r="B19" t="s">
        <v>54</v>
      </c>
      <c r="C19" t="s">
        <v>62</v>
      </c>
      <c r="D19" t="s">
        <v>13</v>
      </c>
      <c r="E19" s="1">
        <v>46384</v>
      </c>
      <c r="F19" s="1">
        <v>46391</v>
      </c>
      <c r="G19" t="s">
        <v>35</v>
      </c>
      <c r="H19" t="s">
        <v>22</v>
      </c>
      <c r="I19">
        <f t="shared" si="0"/>
        <v>7</v>
      </c>
      <c r="J19" t="str">
        <f t="shared" ca="1" si="1"/>
        <v/>
      </c>
    </row>
  </sheetData>
  <dataValidations count="2">
    <dataValidation type="list" sqref="G2:G100" xr:uid="{00000000-0002-0000-0000-000000000000}">
      <formula1>"Not Started,In Progress,Blocked,Done"</formula1>
    </dataValidation>
    <dataValidation type="list" sqref="H2:H100" xr:uid="{00000000-0002-0000-0000-000001000000}">
      <formula1>"Low,Medium,High,Critical"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10" customWidth="1"/>
    <col min="2" max="2" width="46" customWidth="1"/>
    <col min="3" max="3" width="20" customWidth="1"/>
    <col min="4" max="4" width="17" customWidth="1"/>
    <col min="5" max="5" width="12" customWidth="1"/>
    <col min="6" max="6" width="20" customWidth="1"/>
    <col min="7" max="7" width="62" customWidth="1"/>
    <col min="8" max="8" width="15" customWidth="1"/>
    <col min="9" max="9" width="12" customWidth="1"/>
  </cols>
  <sheetData>
    <row r="1" spans="1:9" ht="32" customHeight="1">
      <c r="A1" s="3" t="s">
        <v>0</v>
      </c>
      <c r="B1" s="3" t="s">
        <v>63</v>
      </c>
      <c r="C1" s="3" t="s">
        <v>64</v>
      </c>
      <c r="D1" s="3" t="s">
        <v>65</v>
      </c>
      <c r="E1" s="3" t="s">
        <v>66</v>
      </c>
      <c r="F1" s="3" t="s">
        <v>3</v>
      </c>
      <c r="G1" s="3" t="s">
        <v>67</v>
      </c>
      <c r="H1" s="3" t="s">
        <v>6</v>
      </c>
      <c r="I1" s="3" t="s">
        <v>68</v>
      </c>
    </row>
    <row r="2" spans="1:9">
      <c r="A2" t="s">
        <v>69</v>
      </c>
      <c r="B2" t="s">
        <v>70</v>
      </c>
      <c r="C2">
        <v>4</v>
      </c>
      <c r="D2">
        <v>4</v>
      </c>
      <c r="E2" t="s">
        <v>22</v>
      </c>
      <c r="F2" t="s">
        <v>28</v>
      </c>
      <c r="G2" t="s">
        <v>71</v>
      </c>
      <c r="H2" t="s">
        <v>72</v>
      </c>
      <c r="I2">
        <f t="shared" ref="I2:I7" si="0">C2*D2</f>
        <v>16</v>
      </c>
    </row>
    <row r="3" spans="1:9">
      <c r="A3" t="s">
        <v>73</v>
      </c>
      <c r="B3" t="s">
        <v>74</v>
      </c>
      <c r="C3">
        <v>3</v>
      </c>
      <c r="D3">
        <v>5</v>
      </c>
      <c r="E3" t="s">
        <v>22</v>
      </c>
      <c r="F3" t="s">
        <v>31</v>
      </c>
      <c r="G3" t="s">
        <v>75</v>
      </c>
      <c r="H3" t="s">
        <v>72</v>
      </c>
      <c r="I3">
        <f t="shared" si="0"/>
        <v>15</v>
      </c>
    </row>
    <row r="4" spans="1:9">
      <c r="A4" t="s">
        <v>76</v>
      </c>
      <c r="B4" t="s">
        <v>77</v>
      </c>
      <c r="C4">
        <v>3</v>
      </c>
      <c r="D4">
        <v>3</v>
      </c>
      <c r="E4" t="s">
        <v>15</v>
      </c>
      <c r="F4" t="s">
        <v>58</v>
      </c>
      <c r="G4" t="s">
        <v>78</v>
      </c>
      <c r="H4" t="s">
        <v>72</v>
      </c>
      <c r="I4">
        <f t="shared" si="0"/>
        <v>9</v>
      </c>
    </row>
    <row r="5" spans="1:9">
      <c r="A5" t="s">
        <v>79</v>
      </c>
      <c r="B5" t="s">
        <v>80</v>
      </c>
      <c r="C5">
        <v>3</v>
      </c>
      <c r="D5">
        <v>4</v>
      </c>
      <c r="E5" t="s">
        <v>22</v>
      </c>
      <c r="F5" t="s">
        <v>13</v>
      </c>
      <c r="G5" t="s">
        <v>81</v>
      </c>
      <c r="H5" t="s">
        <v>72</v>
      </c>
      <c r="I5">
        <f t="shared" si="0"/>
        <v>12</v>
      </c>
    </row>
    <row r="6" spans="1:9">
      <c r="A6" t="s">
        <v>82</v>
      </c>
      <c r="B6" t="s">
        <v>83</v>
      </c>
      <c r="C6">
        <v>2</v>
      </c>
      <c r="D6">
        <v>5</v>
      </c>
      <c r="E6" t="s">
        <v>22</v>
      </c>
      <c r="F6" t="s">
        <v>31</v>
      </c>
      <c r="G6" t="s">
        <v>84</v>
      </c>
      <c r="H6" t="s">
        <v>85</v>
      </c>
      <c r="I6">
        <f t="shared" si="0"/>
        <v>10</v>
      </c>
    </row>
    <row r="7" spans="1:9">
      <c r="A7" t="s">
        <v>86</v>
      </c>
      <c r="B7" t="s">
        <v>87</v>
      </c>
      <c r="C7">
        <v>2</v>
      </c>
      <c r="D7">
        <v>3</v>
      </c>
      <c r="E7" t="s">
        <v>15</v>
      </c>
      <c r="F7" t="s">
        <v>13</v>
      </c>
      <c r="G7" t="s">
        <v>88</v>
      </c>
      <c r="H7" t="s">
        <v>89</v>
      </c>
      <c r="I7">
        <f t="shared" si="0"/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baseColWidth="10" defaultColWidth="8.83203125" defaultRowHeight="15"/>
  <cols>
    <col min="1" max="1" width="30" customWidth="1"/>
    <col min="2" max="3" width="20" customWidth="1"/>
    <col min="4" max="4" width="18" customWidth="1"/>
    <col min="5" max="5" width="55" customWidth="1"/>
  </cols>
  <sheetData>
    <row r="1" spans="1:5" ht="42.75" customHeight="1">
      <c r="A1" s="3" t="s">
        <v>90</v>
      </c>
      <c r="B1" s="3" t="s">
        <v>91</v>
      </c>
      <c r="C1" s="3" t="s">
        <v>3</v>
      </c>
      <c r="D1" s="3" t="s">
        <v>6</v>
      </c>
      <c r="E1" s="3" t="s">
        <v>92</v>
      </c>
    </row>
    <row r="2" spans="1:5">
      <c r="A2" t="s">
        <v>93</v>
      </c>
      <c r="B2" s="1">
        <v>46335</v>
      </c>
      <c r="C2" t="s">
        <v>21</v>
      </c>
      <c r="D2" t="s">
        <v>14</v>
      </c>
      <c r="E2" t="s">
        <v>94</v>
      </c>
    </row>
    <row r="3" spans="1:5">
      <c r="A3" t="s">
        <v>95</v>
      </c>
      <c r="B3" s="1">
        <v>46348</v>
      </c>
      <c r="C3" t="s">
        <v>21</v>
      </c>
      <c r="D3" t="s">
        <v>35</v>
      </c>
      <c r="E3" t="s">
        <v>96</v>
      </c>
    </row>
    <row r="4" spans="1:5">
      <c r="A4" t="s">
        <v>97</v>
      </c>
      <c r="B4" s="1">
        <v>46359</v>
      </c>
      <c r="C4" t="s">
        <v>31</v>
      </c>
      <c r="D4" t="s">
        <v>35</v>
      </c>
      <c r="E4" t="s">
        <v>98</v>
      </c>
    </row>
    <row r="5" spans="1:5">
      <c r="A5" t="s">
        <v>99</v>
      </c>
      <c r="B5" s="1">
        <v>46376</v>
      </c>
      <c r="C5" t="s">
        <v>46</v>
      </c>
      <c r="D5" t="s">
        <v>35</v>
      </c>
      <c r="E5" t="s">
        <v>100</v>
      </c>
    </row>
    <row r="6" spans="1:5">
      <c r="A6" t="s">
        <v>101</v>
      </c>
      <c r="B6" s="1">
        <v>46384</v>
      </c>
      <c r="C6" t="s">
        <v>21</v>
      </c>
      <c r="D6" t="s">
        <v>35</v>
      </c>
      <c r="E6" t="s">
        <v>102</v>
      </c>
    </row>
    <row r="7" spans="1:5">
      <c r="A7" t="s">
        <v>103</v>
      </c>
      <c r="B7" s="1">
        <v>46391</v>
      </c>
      <c r="C7" t="s">
        <v>13</v>
      </c>
      <c r="D7" t="s">
        <v>35</v>
      </c>
      <c r="E7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/>
  </sheetViews>
  <sheetFormatPr baseColWidth="10" defaultColWidth="8.83203125" defaultRowHeight="15"/>
  <cols>
    <col min="1" max="1" width="35" customWidth="1"/>
    <col min="2" max="2" width="20" customWidth="1"/>
    <col min="3" max="3" width="14" customWidth="1"/>
    <col min="4" max="4" width="23" customWidth="1"/>
    <col min="5" max="5" width="18" customWidth="1"/>
    <col min="6" max="6" width="15" customWidth="1"/>
  </cols>
  <sheetData>
    <row r="1" spans="1:6" ht="42.75" customHeight="1">
      <c r="A1" s="5" t="s">
        <v>105</v>
      </c>
      <c r="B1" s="5"/>
      <c r="C1" s="5"/>
      <c r="D1" s="5"/>
      <c r="E1" s="5"/>
      <c r="F1" s="5"/>
    </row>
    <row r="3" spans="1:6">
      <c r="A3" s="4" t="s">
        <v>106</v>
      </c>
      <c r="B3" s="4" t="s">
        <v>107</v>
      </c>
      <c r="D3" s="4" t="s">
        <v>6</v>
      </c>
      <c r="E3" s="4" t="s">
        <v>108</v>
      </c>
    </row>
    <row r="4" spans="1:6">
      <c r="A4" t="s">
        <v>109</v>
      </c>
      <c r="B4">
        <f>COUNTA('Task Tracker'!A2:A100)</f>
        <v>18</v>
      </c>
      <c r="D4" t="s">
        <v>14</v>
      </c>
      <c r="E4">
        <f>COUNTIF('Task Tracker'!G2:G100,D4)</f>
        <v>5</v>
      </c>
    </row>
    <row r="5" spans="1:6">
      <c r="A5" t="s">
        <v>110</v>
      </c>
      <c r="B5">
        <f>COUNTIF('Task Tracker'!G2:G100,"Done")</f>
        <v>5</v>
      </c>
      <c r="D5" t="s">
        <v>32</v>
      </c>
      <c r="E5">
        <f>COUNTIF('Task Tracker'!G2:G100,D5)</f>
        <v>2</v>
      </c>
    </row>
    <row r="6" spans="1:6">
      <c r="A6" t="s">
        <v>111</v>
      </c>
      <c r="B6" s="2">
        <f>IFERROR(B5/B4,0)</f>
        <v>0.27777777777777779</v>
      </c>
      <c r="D6" t="s">
        <v>35</v>
      </c>
      <c r="E6">
        <f>COUNTIF('Task Tracker'!G2:G100,D6)</f>
        <v>11</v>
      </c>
    </row>
    <row r="7" spans="1:6">
      <c r="A7" t="s">
        <v>112</v>
      </c>
      <c r="B7">
        <f>COUNTIF('Task Tracker'!G2:G100,"Blocked")</f>
        <v>0</v>
      </c>
      <c r="D7" t="s">
        <v>113</v>
      </c>
      <c r="E7">
        <f>COUNTIF('Task Tracker'!G2:G100,D7)</f>
        <v>0</v>
      </c>
    </row>
    <row r="8" spans="1:6">
      <c r="A8" t="s">
        <v>114</v>
      </c>
      <c r="B8">
        <f>COUNTIF('Risk Register'!H2:H100,"Open")+COUNTIF('Risk Register'!H2:H100,"Mitigating")</f>
        <v>5</v>
      </c>
    </row>
    <row r="11" spans="1:6">
      <c r="A11" s="4" t="s">
        <v>1</v>
      </c>
      <c r="B11" s="4" t="s">
        <v>115</v>
      </c>
    </row>
    <row r="12" spans="1:6">
      <c r="A12" t="s">
        <v>11</v>
      </c>
      <c r="B12">
        <f>COUNTIF('Task Tracker'!B2:B100,A12)</f>
        <v>3</v>
      </c>
    </row>
    <row r="13" spans="1:6">
      <c r="A13" t="s">
        <v>24</v>
      </c>
      <c r="B13">
        <f>COUNTIF('Task Tracker'!B2:B100,A13)</f>
        <v>4</v>
      </c>
    </row>
    <row r="14" spans="1:6">
      <c r="A14" t="s">
        <v>37</v>
      </c>
      <c r="B14">
        <f>COUNTIF('Task Tracker'!B2:B100,A14)</f>
        <v>3</v>
      </c>
    </row>
    <row r="15" spans="1:6">
      <c r="A15" t="s">
        <v>44</v>
      </c>
      <c r="B15">
        <f>COUNTIF('Task Tracker'!B2:B100,A15)</f>
        <v>4</v>
      </c>
    </row>
    <row r="16" spans="1:6">
      <c r="A16" t="s">
        <v>54</v>
      </c>
      <c r="B16">
        <f>COUNTIF('Task Tracker'!B2:B100,A16)</f>
        <v>4</v>
      </c>
    </row>
    <row r="19" spans="1:1">
      <c r="A19" t="s">
        <v>116</v>
      </c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Tracker</vt:lpstr>
      <vt:lpstr>Risk Register</vt:lpstr>
      <vt:lpstr>Milestones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Kaysen Acfalle</cp:lastModifiedBy>
  <dcterms:modified xsi:type="dcterms:W3CDTF">2026-10-20T15:29:38Z</dcterms:modified>
</cp:coreProperties>
</file>